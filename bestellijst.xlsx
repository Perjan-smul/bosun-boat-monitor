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ijst" sheetId="1" state="visible" r:id="rId1"/>
  </sheets>
  <definedNames>
    <definedName name="_xlnm._FilterDatabase" localSheetId="0" hidden="1">'Bestellijst'!$A$4:$J$19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 &quot;#,##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4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164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6" customWidth="1" min="3" max="3"/>
    <col width="46" customWidth="1" min="4" max="4"/>
    <col width="30" customWidth="1" min="5" max="5"/>
    <col width="12" customWidth="1" min="6" max="6"/>
    <col width="12" customWidth="1" min="7" max="7"/>
    <col width="13" customWidth="1" min="8" max="8"/>
    <col width="13" customWidth="1" min="9" max="9"/>
    <col width="52" customWidth="1" min="10" max="10"/>
  </cols>
  <sheetData>
    <row r="1">
      <c r="A1" s="1" t="inlineStr">
        <is>
          <t>Bosun: bestellijst</t>
        </is>
      </c>
    </row>
    <row r="2">
      <c r="A2" s="2" t="inlineStr">
        <is>
          <t>Prijzen zijn indicatief (oktober 2026, in euro). Controleer de prijs in de winkel voordat je bestelt. Verzendkosten niet inbegrepen.</t>
        </is>
      </c>
    </row>
    <row r="4">
      <c r="A4" s="3" t="inlineStr">
        <is>
          <t>Onderdeel</t>
        </is>
      </c>
      <c r="B4" s="3" t="inlineStr">
        <is>
          <t>Aantal</t>
        </is>
      </c>
      <c r="C4" s="3" t="inlineStr">
        <is>
          <t>Verplicht</t>
        </is>
      </c>
      <c r="D4" s="3" t="inlineStr">
        <is>
          <t>Waarom</t>
        </is>
      </c>
      <c r="E4" s="3" t="inlineStr">
        <is>
          <t>Zoekterm bij de webwinkel</t>
        </is>
      </c>
      <c r="F4" s="4" t="inlineStr">
        <is>
          <t>Prijs min (€)</t>
        </is>
      </c>
      <c r="G4" s="4" t="inlineStr">
        <is>
          <t>Prijs max (€)</t>
        </is>
      </c>
      <c r="H4" s="4" t="inlineStr">
        <is>
          <t>Totaal min (€)</t>
        </is>
      </c>
      <c r="I4" s="4" t="inlineStr">
        <is>
          <t>Totaal max (€)</t>
        </is>
      </c>
      <c r="J4" s="3" t="inlineStr">
        <is>
          <t>Opmerking</t>
        </is>
      </c>
    </row>
    <row r="5">
      <c r="A5" s="5" t="inlineStr">
        <is>
          <t>LILYGO T-Panel S3, CAN-versie (H720)</t>
        </is>
      </c>
      <c r="B5" s="5" t="n">
        <v>1</v>
      </c>
      <c r="C5" s="5" t="inlineStr">
        <is>
          <t>Ja</t>
        </is>
      </c>
      <c r="D5" s="5" t="inlineStr">
        <is>
          <t>Het scherm met de ESP32-S3 en de CAN-aansluiting voor NMEA 2000</t>
        </is>
      </c>
      <c r="E5" s="5" t="inlineStr">
        <is>
          <t>T-Panel S3 H720 CAN FD</t>
        </is>
      </c>
      <c r="F5" s="6" t="n">
        <v>55</v>
      </c>
      <c r="G5" s="6" t="n">
        <v>90</v>
      </c>
      <c r="H5" s="6">
        <f>B5*F5</f>
        <v/>
      </c>
      <c r="I5" s="6">
        <f>B5*G5</f>
        <v/>
      </c>
      <c r="J5" s="5" t="inlineStr">
        <is>
          <t>Kies bewust H720 (CAN FD). De RS485-versie (H719) heeft geen CAN.</t>
        </is>
      </c>
    </row>
    <row r="6">
      <c r="A6" s="5" t="inlineStr">
        <is>
          <t>DS3231 RTC-module met CR2032-houder</t>
        </is>
      </c>
      <c r="B6" s="5" t="n">
        <v>1</v>
      </c>
      <c r="C6" s="5" t="inlineStr">
        <is>
          <t>Ja</t>
        </is>
      </c>
      <c r="D6" s="5" t="inlineStr">
        <is>
          <t>Bewaart de tijd ook zonder stroom</t>
        </is>
      </c>
      <c r="E6" s="5" t="inlineStr">
        <is>
          <t>DS3231 RTC module CR2032</t>
        </is>
      </c>
      <c r="F6" s="6" t="n">
        <v>3</v>
      </c>
      <c r="G6" s="6" t="n">
        <v>6</v>
      </c>
      <c r="H6" s="6">
        <f>B6*F6</f>
        <v/>
      </c>
      <c r="I6" s="6">
        <f>B6*G6</f>
        <v/>
      </c>
      <c r="J6" s="5" t="inlineStr">
        <is>
          <t>Controleer of de module een laadcircuit heeft (ZS-042). Zie de README over het diodetje/de weerstand.</t>
        </is>
      </c>
    </row>
    <row r="7">
      <c r="A7" s="5" t="inlineStr">
        <is>
          <t>CR2032 knoopcel</t>
        </is>
      </c>
      <c r="B7" s="5" t="n">
        <v>1</v>
      </c>
      <c r="C7" s="5" t="inlineStr">
        <is>
          <t>Ja</t>
        </is>
      </c>
      <c r="D7" s="5" t="inlineStr">
        <is>
          <t>Voeding voor de klok</t>
        </is>
      </c>
      <c r="E7" s="5" t="inlineStr">
        <is>
          <t>CR2032 3V lithium</t>
        </is>
      </c>
      <c r="F7" s="6" t="n">
        <v>1</v>
      </c>
      <c r="G7" s="6" t="n">
        <v>3</v>
      </c>
      <c r="H7" s="6">
        <f>B7*F7</f>
        <v/>
      </c>
      <c r="I7" s="6">
        <f>B7*G7</f>
        <v/>
      </c>
      <c r="J7" s="5" t="inlineStr">
        <is>
          <t>Neem een setje van 5. Ook voor later.</t>
        </is>
      </c>
    </row>
    <row r="8">
      <c r="A8" s="5" t="inlineStr">
        <is>
          <t>I2C LCD-backpack PCF8574 (voor 1602/2004)</t>
        </is>
      </c>
      <c r="B8" s="5" t="n">
        <v>1</v>
      </c>
      <c r="C8" s="5" t="inlineStr">
        <is>
          <t>Ja</t>
        </is>
      </c>
      <c r="D8" s="5" t="inlineStr">
        <is>
          <t>Biedt de I2C-poort en de pinnen voor de zoemer. Het LCD-scherm zelf hoef je niet te kopen.</t>
        </is>
      </c>
      <c r="E8" s="5" t="inlineStr">
        <is>
          <t>PCF8574 I2C LCD backpack 1602</t>
        </is>
      </c>
      <c r="F8" s="6" t="n">
        <v>2</v>
      </c>
      <c r="G8" s="6" t="n">
        <v>4</v>
      </c>
      <c r="H8" s="6">
        <f>B8*F8</f>
        <v/>
      </c>
      <c r="I8" s="6">
        <f>B8*G8</f>
        <v/>
      </c>
      <c r="J8" s="5" t="inlineStr">
        <is>
          <t>Met de 16-polige header; de pinnen 15 en 16 zijn nodig voor de zoemer.</t>
        </is>
      </c>
    </row>
    <row r="9">
      <c r="A9" s="5" t="inlineStr">
        <is>
          <t>Actieve zoemer 3-5 V</t>
        </is>
      </c>
      <c r="B9" s="5" t="n">
        <v>1</v>
      </c>
      <c r="C9" s="5" t="inlineStr">
        <is>
          <t>Ja</t>
        </is>
      </c>
      <c r="D9" s="5" t="inlineStr">
        <is>
          <t>Piept bij een rood alarm</t>
        </is>
      </c>
      <c r="E9" s="5" t="inlineStr">
        <is>
          <t>active buzzer 5V</t>
        </is>
      </c>
      <c r="F9" s="6" t="n">
        <v>1</v>
      </c>
      <c r="G9" s="6" t="n">
        <v>3</v>
      </c>
      <c r="H9" s="6">
        <f>B9*F9</f>
        <v/>
      </c>
      <c r="I9" s="6">
        <f>B9*G9</f>
        <v/>
      </c>
      <c r="J9" s="5" t="inlineStr">
        <is>
          <t>Actief, dus met een eigen oscillator. Een passieve zoemer piept niet vanzelf.</t>
        </is>
      </c>
    </row>
    <row r="10">
      <c r="A10" s="5" t="inlineStr">
        <is>
          <t>Zekering 1 A met houder</t>
        </is>
      </c>
      <c r="B10" s="5" t="n">
        <v>1</v>
      </c>
      <c r="C10" s="5" t="inlineStr">
        <is>
          <t>Ja</t>
        </is>
      </c>
      <c r="D10" s="5" t="inlineStr">
        <is>
          <t>Beveiliging van de 12 V-voeding van het board</t>
        </is>
      </c>
      <c r="E10" s="5" t="inlineStr">
        <is>
          <t>inline fuse holder 1A blade</t>
        </is>
      </c>
      <c r="F10" s="6" t="n">
        <v>3</v>
      </c>
      <c r="G10" s="6" t="n">
        <v>6</v>
      </c>
      <c r="H10" s="6">
        <f>B10*F10</f>
        <v/>
      </c>
      <c r="I10" s="6">
        <f>B10*G10</f>
        <v/>
      </c>
      <c r="J10" s="5" t="inlineStr">
        <is>
          <t>Plaats dicht bij de accu.</t>
        </is>
      </c>
    </row>
    <row r="11">
      <c r="A11" s="5" t="inlineStr">
        <is>
          <t>Draad 1 mm² en 2,5 mm², met krimpkousen en kabelschoenen</t>
        </is>
      </c>
      <c r="B11" s="5" t="n">
        <v>1</v>
      </c>
      <c r="C11" s="5" t="inlineStr">
        <is>
          <t>Ja</t>
        </is>
      </c>
      <c r="D11" s="5" t="inlineStr">
        <is>
          <t>Voeding en signaalbedrading</t>
        </is>
      </c>
      <c r="E11" s="5" t="inlineStr">
        <is>
          <t>kabelschoen krimpset</t>
        </is>
      </c>
      <c r="F11" s="6" t="n">
        <v>5</v>
      </c>
      <c r="G11" s="6" t="n">
        <v>12</v>
      </c>
      <c r="H11" s="6">
        <f>B11*F11</f>
        <v/>
      </c>
      <c r="I11" s="6">
        <f>B11*G11</f>
        <v/>
      </c>
      <c r="J11" s="5" t="inlineStr">
        <is>
          <t>De stroomdraad naar de klem 2,5 mm² of dikker.</t>
        </is>
      </c>
    </row>
    <row r="12">
      <c r="A12" s="5" t="inlineStr">
        <is>
          <t>NMEA 2000 drop-kabel met M12-stekker</t>
        </is>
      </c>
      <c r="B12" s="5" t="n">
        <v>1</v>
      </c>
      <c r="C12" s="5" t="inlineStr">
        <is>
          <t>Ja (CAN-versie)</t>
        </is>
      </c>
      <c r="D12" s="5" t="inlineStr">
        <is>
          <t>Verbindt de T-Panel met de bus van je boot</t>
        </is>
      </c>
      <c r="E12" s="5" t="inlineStr">
        <is>
          <t>NMEA 2000 drop cable M12 female</t>
        </is>
      </c>
      <c r="F12" s="6" t="n">
        <v>15</v>
      </c>
      <c r="G12" s="6" t="n">
        <v>30</v>
      </c>
      <c r="H12" s="6">
        <f>B12*F12</f>
        <v/>
      </c>
      <c r="I12" s="6">
        <f>B12*G12</f>
        <v/>
      </c>
      <c r="J12" s="5" t="inlineStr">
        <is>
          <t>Een kabel met één open einde. Lengte: tot aan de bus.</t>
        </is>
      </c>
    </row>
    <row r="13">
      <c r="A13" s="5" t="inlineStr">
        <is>
          <t>NMEA 2000 T-stuk of afsluiter</t>
        </is>
      </c>
      <c r="B13" s="5" t="n">
        <v>1</v>
      </c>
      <c r="C13" s="5" t="inlineStr">
        <is>
          <t>Soms nodig</t>
        </is>
      </c>
      <c r="D13" s="5" t="inlineStr">
        <is>
          <t>Zodat je kabel op de bus kan zitten</t>
        </is>
      </c>
      <c r="E13" s="5" t="inlineStr">
        <is>
          <t>NMEA 2000 T-piece</t>
        </is>
      </c>
      <c r="F13" s="6" t="n">
        <v>10</v>
      </c>
      <c r="G13" s="6" t="n">
        <v>20</v>
      </c>
      <c r="H13" s="6">
        <f>B13*F13</f>
        <v/>
      </c>
      <c r="I13" s="6">
        <f>B13*G13</f>
        <v/>
      </c>
      <c r="J13" s="5" t="inlineStr">
        <is>
          <t>Let op: er mag maar één afsluiter per uiteinde van de bus zitten.</t>
        </is>
      </c>
    </row>
    <row r="14">
      <c r="A14" s="5" t="inlineStr">
        <is>
          <t>USB-C datakabel</t>
        </is>
      </c>
      <c r="B14" s="5" t="n">
        <v>1</v>
      </c>
      <c r="C14" s="5" t="inlineStr">
        <is>
          <t>Ja</t>
        </is>
      </c>
      <c r="D14" s="5" t="inlineStr">
        <is>
          <t>Firmware zetten en de seriële log bekijken</t>
        </is>
      </c>
      <c r="E14" s="5" t="inlineStr">
        <is>
          <t>USB-C datakabel</t>
        </is>
      </c>
      <c r="F14" s="6" t="n">
        <v>3</v>
      </c>
      <c r="G14" s="6" t="n">
        <v>8</v>
      </c>
      <c r="H14" s="6">
        <f>B14*F14</f>
        <v/>
      </c>
      <c r="I14" s="6">
        <f>B14*G14</f>
        <v/>
      </c>
      <c r="J14" s="5" t="inlineStr">
        <is>
          <t>Een kabel die data kan, geen alleen-laadkabel.</t>
        </is>
      </c>
    </row>
    <row r="15">
      <c r="A15" s="5" t="inlineStr">
        <is>
          <t>Multimeter</t>
        </is>
      </c>
      <c r="B15" s="5" t="n">
        <v>1</v>
      </c>
      <c r="C15" s="5" t="inlineStr">
        <is>
          <t>Ja</t>
        </is>
      </c>
      <c r="D15" s="5" t="inlineStr">
        <is>
          <t>Controleren van spanning, de bus en de afsluitweerstand (60 Ω)</t>
        </is>
      </c>
      <c r="E15" s="5" t="inlineStr">
        <is>
          <t>multimeter</t>
        </is>
      </c>
      <c r="F15" s="6" t="n">
        <v>10</v>
      </c>
      <c r="G15" s="6" t="n">
        <v>25</v>
      </c>
      <c r="H15" s="6">
        <f>B15*F15</f>
        <v/>
      </c>
      <c r="I15" s="6">
        <f>B15*G15</f>
        <v/>
      </c>
      <c r="J15" s="5" t="inlineStr">
        <is>
          <t>Een gewone multimeter is genoeg.</t>
        </is>
      </c>
    </row>
    <row r="16">
      <c r="A16" s="5" t="inlineStr">
        <is>
          <t>Ruuvi-tag (temperatuur/vocht)</t>
        </is>
      </c>
      <c r="B16" s="5" t="n">
        <v>0</v>
      </c>
      <c r="C16" s="5" t="inlineStr">
        <is>
          <t>Optioneel</t>
        </is>
      </c>
      <c r="D16" s="5" t="inlineStr">
        <is>
          <t>Draadloze thermometer, bv. voor de koelkast</t>
        </is>
      </c>
      <c r="E16" s="5" t="inlineStr">
        <is>
          <t>RuuviTag</t>
        </is>
      </c>
      <c r="F16" s="6" t="n">
        <v>25</v>
      </c>
      <c r="G16" s="6" t="n">
        <v>35</v>
      </c>
      <c r="H16" s="6">
        <f>B16*F16</f>
        <v/>
      </c>
      <c r="I16" s="6">
        <f>B16*G16</f>
        <v/>
      </c>
      <c r="J16" s="5" t="inlineStr">
        <is>
          <t>Aantal 0: per stuk zelf optellen. Geen bedrading, geen sleutel.</t>
        </is>
      </c>
    </row>
    <row r="17">
      <c r="A17" s="5" t="inlineStr">
        <is>
          <t>Xiaomi LYWSD03MMC thermometer</t>
        </is>
      </c>
      <c r="B17" s="5" t="n">
        <v>0</v>
      </c>
      <c r="C17" s="5" t="inlineStr">
        <is>
          <t>Optioneel</t>
        </is>
      </c>
      <c r="D17" s="5" t="inlineStr">
        <is>
          <t>Goedkope draadloze thermometer</t>
        </is>
      </c>
      <c r="E17" s="5" t="inlineStr">
        <is>
          <t>LYWSD03MMC</t>
        </is>
      </c>
      <c r="F17" s="6" t="n">
        <v>8</v>
      </c>
      <c r="G17" s="6" t="n">
        <v>12</v>
      </c>
      <c r="H17" s="6">
        <f>B17*F17</f>
        <v/>
      </c>
      <c r="I17" s="6">
        <f>B17*G17</f>
        <v/>
      </c>
      <c r="J17" s="5" t="inlineStr">
        <is>
          <t>Aantal 0: per stuk zelf optellen. Eerst de ATC-firmware flashen; zie de README.</t>
        </is>
      </c>
    </row>
    <row r="18">
      <c r="A18" s="5" t="inlineStr">
        <is>
          <t>Mopeka Pro Check tanksensor</t>
        </is>
      </c>
      <c r="B18" s="5" t="n">
        <v>0</v>
      </c>
      <c r="C18" s="5" t="inlineStr">
        <is>
          <t>Optioneel</t>
        </is>
      </c>
      <c r="D18" s="5" t="inlineStr">
        <is>
          <t>Tankniveau via de tankwand, bv. gas (propaan)</t>
        </is>
      </c>
      <c r="E18" s="5" t="inlineStr">
        <is>
          <t>Mopeka Pro Check</t>
        </is>
      </c>
      <c r="F18" s="6" t="n">
        <v>45</v>
      </c>
      <c r="G18" s="6" t="n">
        <v>70</v>
      </c>
      <c r="H18" s="6">
        <f>B18*F18</f>
        <v/>
      </c>
      <c r="I18" s="6">
        <f>B18*G18</f>
        <v/>
      </c>
      <c r="J18" s="5" t="inlineStr">
        <is>
          <t>Aantal 0: per tank zelf optellen. Kalibreren op vol en leeg.</t>
        </is>
      </c>
    </row>
    <row r="19">
      <c r="A19" s="5" t="inlineStr">
        <is>
          <t>Montagebeugel of kast voor het scherm</t>
        </is>
      </c>
      <c r="B19" s="5" t="n">
        <v>1</v>
      </c>
      <c r="C19" s="5" t="inlineStr">
        <is>
          <t>Optioneel</t>
        </is>
      </c>
      <c r="D19" s="5" t="inlineStr">
        <is>
          <t>Het board vastzetten</t>
        </is>
      </c>
      <c r="E19" s="5" t="inlineStr">
        <is>
          <t>T-Panel mounting bracket</t>
        </is>
      </c>
      <c r="F19" s="6" t="n">
        <v>0</v>
      </c>
      <c r="G19" s="6" t="n">
        <v>25</v>
      </c>
      <c r="H19" s="6">
        <f>B19*F19</f>
        <v/>
      </c>
      <c r="I19" s="6">
        <f>B19*G19</f>
        <v/>
      </c>
      <c r="J19" s="5" t="inlineStr">
        <is>
          <t>Het project bevat ook behuizingsbestanden in de map structure.</t>
        </is>
      </c>
    </row>
    <row r="21">
      <c r="A21" s="7" t="inlineStr">
        <is>
          <t>Totaal verplicht</t>
        </is>
      </c>
      <c r="H21" s="8">
        <f>SUMIF(C5:C19,"Ja*",H5:H19)</f>
        <v/>
      </c>
      <c r="I21" s="8">
        <f>SUMIF(C5:C19,"Ja*",I5:I19)</f>
        <v/>
      </c>
    </row>
    <row r="22">
      <c r="A22" t="inlineStr">
        <is>
          <t>Totaal soms nodig en optioneel (sensoren tellen per stuk, zie opmerking)</t>
        </is>
      </c>
      <c r="H22" s="9">
        <f>SUM(H5:H19)-H21</f>
        <v/>
      </c>
      <c r="I22" s="9">
        <f>SUM(I5:I19)-I21</f>
        <v/>
      </c>
    </row>
  </sheetData>
  <autoFilter ref="A4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2026-10-18T10:27:47Z</dcterms:created>
  <dcterms:modified xmlns:dcterms="http://purl.org/dc/terms/" xmlns:xsi="http://www.w3.org/2001/XMLSchema-instance" xsi:type="dcterms:W3CDTF">2026-10-18T10:27:47Z</dcterms:modified>
</cp:coreProperties>
</file>